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jetos\ExcelIAClaude\controle_investimento\fii\"/>
    </mc:Choice>
  </mc:AlternateContent>
  <xr:revisionPtr revIDLastSave="0" documentId="13_ncr:1_{32C66EDE-6ACF-49A0-BC9C-EBFC9F67FD7F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APP" sheetId="1" r:id="rId1"/>
    <sheet name="Apoio" sheetId="2" r:id="rId2"/>
  </sheets>
  <definedNames>
    <definedName name="aporte">APP!$C$12</definedName>
    <definedName name="dividendo_mensal">APP!$C$16</definedName>
    <definedName name="patrimonio">APP!$C$15</definedName>
    <definedName name="perc_sugestao">APP!$C$8</definedName>
    <definedName name="perfil">APP!$C$33</definedName>
    <definedName name="qtd_anos">APP!$C$13</definedName>
    <definedName name="rendimento_carteira">APP!$C$7</definedName>
    <definedName name="salario">APP!$C$6</definedName>
    <definedName name="sugestao_investimento">APP!$C$9</definedName>
    <definedName name="tabela_perfis">Apoio!$A$4:$D$21</definedName>
    <definedName name="taxa_mensal">APP!$C$14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1" i="2" l="1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G6" i="2"/>
  <c r="H6" i="2" s="1"/>
  <c r="A6" i="2"/>
  <c r="G5" i="2"/>
  <c r="H5" i="2" s="1"/>
  <c r="A5" i="2"/>
  <c r="G4" i="2"/>
  <c r="H4" i="2" s="1"/>
  <c r="A4" i="2"/>
  <c r="C41" i="1" s="1"/>
  <c r="D41" i="1" s="1"/>
  <c r="C42" i="1"/>
  <c r="D42" i="1" s="1"/>
  <c r="C40" i="1"/>
  <c r="D40" i="1" s="1"/>
  <c r="C38" i="1"/>
  <c r="D38" i="1" s="1"/>
  <c r="C34" i="1"/>
  <c r="C25" i="1"/>
  <c r="D25" i="1" s="1"/>
  <c r="C24" i="1"/>
  <c r="D24" i="1" s="1"/>
  <c r="C23" i="1"/>
  <c r="D23" i="1" s="1"/>
  <c r="C22" i="1"/>
  <c r="D22" i="1" s="1"/>
  <c r="C21" i="1"/>
  <c r="D21" i="1" s="1"/>
  <c r="C17" i="1"/>
  <c r="C15" i="1"/>
  <c r="C16" i="1" s="1"/>
  <c r="C9" i="1"/>
  <c r="C29" i="1" s="1"/>
  <c r="C30" i="1" s="1"/>
  <c r="E22" i="1" l="1"/>
  <c r="F22" i="1" s="1"/>
  <c r="E24" i="1"/>
  <c r="F24" i="1" s="1"/>
  <c r="E21" i="1"/>
  <c r="F21" i="1" s="1"/>
  <c r="E23" i="1"/>
  <c r="F23" i="1" s="1"/>
  <c r="E25" i="1"/>
  <c r="F25" i="1" s="1"/>
  <c r="C28" i="1"/>
  <c r="C37" i="1"/>
  <c r="C39" i="1"/>
  <c r="D39" i="1" s="1"/>
  <c r="D37" i="1" l="1"/>
  <c r="D43" i="1" s="1"/>
  <c r="C43" i="1"/>
</calcChain>
</file>

<file path=xl/sharedStrings.xml><?xml version="1.0" encoding="utf-8"?>
<sst xmlns="http://schemas.openxmlformats.org/spreadsheetml/2006/main" count="86" uniqueCount="48">
  <si>
    <t>🏢 SIMULADOR DE INVESTIMENTOS EM FUNDOS IMOBILIÁRIOS</t>
  </si>
  <si>
    <t>CONFIGURAÇÕES</t>
  </si>
  <si>
    <t>Salário (valor de exemplo)</t>
  </si>
  <si>
    <t>Rendimento da carteira (dividendo mensal)</t>
  </si>
  <si>
    <t>% do salário sugerido para investir</t>
  </si>
  <si>
    <t>Sugestão de investimento mensal</t>
  </si>
  <si>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</si>
  <si>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</si>
  <si>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</si>
  <si>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</si>
  <si>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</si>
  <si>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</si>
  <si>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Total aportado do próprio bolso</t>
  </si>
  <si>
    <t>CENÁRIOS DE PROJEÇÃO</t>
  </si>
  <si>
    <t>Horizonte</t>
  </si>
  <si>
    <t>Patrimônio (aporte informado)</t>
  </si>
  <si>
    <t>Dividendo mensal</t>
  </si>
  <si>
    <t>Patrimônio (aporte 30% salário)</t>
  </si>
  <si>
    <t>SIMULAÇÃO COM A SUGESTÃO DE 30% DO SALÁRIO (prazo informado acima)</t>
  </si>
  <si>
    <t>Aporte mensal sugerido</t>
  </si>
  <si>
    <t>Patrimônio acumulado</t>
  </si>
  <si>
    <t>Dividendos mensais</t>
  </si>
  <si>
    <t>DIVISÃO DO APORTE POR PERFIL</t>
  </si>
  <si>
    <t>Perfil do investidor (escolha na lista)</t>
  </si>
  <si>
    <t>Moderado</t>
  </si>
  <si>
    <t>Valor a ser investido por mês</t>
  </si>
  <si>
    <t>Tipo de FII</t>
  </si>
  <si>
    <t>Percentual</t>
  </si>
  <si>
    <t>Valor</t>
  </si>
  <si>
    <t>PAPEL</t>
  </si>
  <si>
    <t>TIJOLO</t>
  </si>
  <si>
    <t>HÍBRIDOS</t>
  </si>
  <si>
    <t>FOFs</t>
  </si>
  <si>
    <t>DESENVOLVIMENTO</t>
  </si>
  <si>
    <t>HOTELARIAS</t>
  </si>
  <si>
    <t>TOTAL</t>
  </si>
  <si>
    <t>Legenda: células amarelas com texto azul = editáveis · células cinza = calculadas (não editar). Valores de exemplo, não são recomendação de investimento.</t>
  </si>
  <si>
    <t>TABELA DE APOIO – PERFIS (percentuais de exemplo, editáveis)</t>
  </si>
  <si>
    <t>CHAVE</t>
  </si>
  <si>
    <t>PERFIL</t>
  </si>
  <si>
    <t>TIPO DE FII</t>
  </si>
  <si>
    <t>%</t>
  </si>
  <si>
    <t>LISTA DE PERFIS</t>
  </si>
  <si>
    <t>SOMA DO PERFIL</t>
  </si>
  <si>
    <t>STATUS</t>
  </si>
  <si>
    <t>Conservador</t>
  </si>
  <si>
    <t>Agressivo</t>
  </si>
  <si>
    <t>Fonte dos percentuais: exemplos didáticos definidos pelo autor, não são recomendação. Cada perfil deve somar 100%.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</si>
</sst>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.00"/>
    <numFmt numFmtId="165" formatCode="0&quot; anos&quot;"/>
    <numFmt numFmtId="166" formatCode="0.000%"/>
  </numFmts>
  <fonts count="10" x14ac:knownFonts="1">
    <font>
      <sz val="11"/>
      <color theme="1"/>
      <name val="Calibri"/>
      <family val="2"/>
      <charset val="1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FF"/>
      <name val="Arial"/>
      <family val="2"/>
    </font>
    <font>
      <sz val="11"/>
      <color rgb="FF0000FF"/>
      <name val="Arial"/>
      <family val="2"/>
    </font>
    <font>
      <i/>
      <sz val="9"/>
      <name val="Arial"/>
      <family val="2"/>
    </font>
    <font>
      <b/>
      <sz val="13"/>
      <name val="Arial"/>
      <family val="2"/>
    </font>
    <font>
      <b/>
      <sz val="11"/>
      <color rgb="FFFFFFFF"/>
      <name val="Arial"/>
      <family val="2"/>
    </font>
    <font>
      <b/>
      <sz val="20"/>
      <color theme="0"/>
      <name val="Arial"/>
      <family val="2"/>
    </font>
    <font>
      <b/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E699"/>
      </patternFill>
    </fill>
    <fill>
      <patternFill patternType="solid">
        <fgColor rgb="FFD9D9D9"/>
        <bgColor rgb="FFC0C0C0"/>
      </patternFill>
    </fill>
    <fill>
      <patternFill patternType="solid">
        <fgColor rgb="FFFFE699"/>
        <bgColor rgb="FFFFF2CC"/>
      </patternFill>
    </fill>
    <fill>
      <gradientFill degree="90">
        <stop position="0">
          <color theme="3" tint="0.59999389629810485"/>
        </stop>
        <stop position="1">
          <color theme="4"/>
        </stop>
      </gradientFill>
    </fill>
    <fill>
      <patternFill patternType="solid">
        <fgColor theme="8" tint="-0.24994659260841701"/>
        <bgColor rgb="FFF79646"/>
      </patternFill>
    </fill>
  </fills>
  <borders count="2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thin">
        <color rgb="FF999999"/>
      </right>
      <top style="medium">
        <color indexed="64"/>
      </top>
      <bottom style="thin">
        <color rgb="FF999999"/>
      </bottom>
      <diagonal/>
    </border>
    <border>
      <left style="thin">
        <color rgb="FF999999"/>
      </left>
      <right style="medium">
        <color indexed="64"/>
      </right>
      <top style="medium">
        <color indexed="64"/>
      </top>
      <bottom style="thin">
        <color rgb="FF999999"/>
      </bottom>
      <diagonal/>
    </border>
    <border>
      <left style="medium">
        <color indexed="64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medium">
        <color indexed="64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thin">
        <color rgb="FF999999"/>
      </right>
      <top style="thin">
        <color rgb="FF999999"/>
      </top>
      <bottom style="medium">
        <color indexed="64"/>
      </bottom>
      <diagonal/>
    </border>
    <border>
      <left style="thin">
        <color rgb="FF999999"/>
      </left>
      <right style="medium">
        <color indexed="64"/>
      </right>
      <top style="thin">
        <color rgb="FF999999"/>
      </top>
      <bottom style="medium">
        <color indexed="64"/>
      </bottom>
      <diagonal/>
    </border>
    <border>
      <left style="medium">
        <color indexed="64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medium">
        <color indexed="64"/>
      </right>
      <top/>
      <bottom style="thin">
        <color rgb="FF99999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 style="thin">
        <color rgb="FF999999"/>
      </right>
      <top style="medium">
        <color indexed="64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rgb="FF999999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 style="thin">
        <color rgb="FF999999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47">
    <xf numFmtId="0" fontId="0" fillId="0" borderId="0" xfId="0"/>
    <xf numFmtId="164" fontId="2" fillId="4" borderId="1" xfId="0" applyNumberFormat="1" applyFont="1" applyFill="1" applyBorder="1"/>
    <xf numFmtId="9" fontId="2" fillId="4" borderId="1" xfId="0" applyNumberFormat="1" applyFont="1" applyFill="1" applyBorder="1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2" fillId="0" borderId="0" xfId="0" applyFont="1"/>
    <xf numFmtId="9" fontId="4" fillId="0" borderId="0" xfId="0" applyNumberFormat="1" applyFont="1"/>
    <xf numFmtId="0" fontId="4" fillId="0" borderId="0" xfId="0" applyFont="1"/>
    <xf numFmtId="9" fontId="2" fillId="0" borderId="0" xfId="0" applyNumberFormat="1" applyFont="1"/>
    <xf numFmtId="0" fontId="2" fillId="0" borderId="2" xfId="0" applyFont="1" applyBorder="1"/>
    <xf numFmtId="0" fontId="2" fillId="0" borderId="4" xfId="0" applyFont="1" applyBorder="1"/>
    <xf numFmtId="10" fontId="3" fillId="3" borderId="5" xfId="0" applyNumberFormat="1" applyFont="1" applyFill="1" applyBorder="1" applyAlignment="1">
      <alignment horizontal="right"/>
    </xf>
    <xf numFmtId="9" fontId="3" fillId="3" borderId="5" xfId="0" applyNumberFormat="1" applyFont="1" applyFill="1" applyBorder="1" applyAlignment="1">
      <alignment horizontal="right"/>
    </xf>
    <xf numFmtId="0" fontId="2" fillId="0" borderId="6" xfId="0" applyFont="1" applyBorder="1"/>
    <xf numFmtId="164" fontId="1" fillId="4" borderId="7" xfId="0" applyNumberFormat="1" applyFont="1" applyFill="1" applyBorder="1" applyAlignment="1">
      <alignment horizontal="right"/>
    </xf>
    <xf numFmtId="0" fontId="2" fillId="0" borderId="8" xfId="0" applyFont="1" applyBorder="1"/>
    <xf numFmtId="164" fontId="3" fillId="3" borderId="9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6" fontId="3" fillId="3" borderId="5" xfId="0" applyNumberFormat="1" applyFont="1" applyFill="1" applyBorder="1" applyAlignment="1">
      <alignment horizontal="right"/>
    </xf>
    <xf numFmtId="164" fontId="1" fillId="4" borderId="5" xfId="0" applyNumberFormat="1" applyFont="1" applyFill="1" applyBorder="1" applyAlignment="1">
      <alignment horizontal="right"/>
    </xf>
    <xf numFmtId="165" fontId="4" fillId="0" borderId="4" xfId="0" applyNumberFormat="1" applyFont="1" applyBorder="1" applyAlignment="1">
      <alignment horizontal="center"/>
    </xf>
    <xf numFmtId="164" fontId="2" fillId="4" borderId="5" xfId="0" applyNumberFormat="1" applyFont="1" applyFill="1" applyBorder="1"/>
    <xf numFmtId="165" fontId="4" fillId="0" borderId="6" xfId="0" applyNumberFormat="1" applyFont="1" applyBorder="1" applyAlignment="1">
      <alignment horizontal="center"/>
    </xf>
    <xf numFmtId="164" fontId="2" fillId="4" borderId="14" xfId="0" applyNumberFormat="1" applyFont="1" applyFill="1" applyBorder="1"/>
    <xf numFmtId="164" fontId="2" fillId="4" borderId="7" xfId="0" applyNumberFormat="1" applyFont="1" applyFill="1" applyBorder="1"/>
    <xf numFmtId="164" fontId="1" fillId="4" borderId="3" xfId="0" applyNumberFormat="1" applyFont="1" applyFill="1" applyBorder="1" applyAlignment="1">
      <alignment horizontal="right"/>
    </xf>
    <xf numFmtId="9" fontId="2" fillId="4" borderId="13" xfId="0" applyNumberFormat="1" applyFont="1" applyFill="1" applyBorder="1"/>
    <xf numFmtId="164" fontId="2" fillId="4" borderId="3" xfId="0" applyNumberFormat="1" applyFont="1" applyFill="1" applyBorder="1"/>
    <xf numFmtId="0" fontId="1" fillId="0" borderId="15" xfId="0" applyFont="1" applyBorder="1"/>
    <xf numFmtId="9" fontId="1" fillId="4" borderId="14" xfId="0" applyNumberFormat="1" applyFont="1" applyFill="1" applyBorder="1"/>
    <xf numFmtId="164" fontId="1" fillId="4" borderId="7" xfId="0" applyNumberFormat="1" applyFont="1" applyFill="1" applyBorder="1"/>
    <xf numFmtId="0" fontId="1" fillId="5" borderId="16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49" fontId="3" fillId="3" borderId="9" xfId="0" applyNumberFormat="1" applyFont="1" applyFill="1" applyBorder="1" applyAlignment="1">
      <alignment horizontal="right"/>
    </xf>
    <xf numFmtId="165" fontId="4" fillId="0" borderId="8" xfId="0" applyNumberFormat="1" applyFont="1" applyBorder="1" applyAlignment="1">
      <alignment horizontal="center"/>
    </xf>
    <xf numFmtId="164" fontId="2" fillId="4" borderId="19" xfId="0" applyNumberFormat="1" applyFont="1" applyFill="1" applyBorder="1"/>
    <xf numFmtId="164" fontId="2" fillId="4" borderId="9" xfId="0" applyNumberFormat="1" applyFont="1" applyFill="1" applyBorder="1"/>
    <xf numFmtId="0" fontId="1" fillId="5" borderId="16" xfId="0" applyFont="1" applyFill="1" applyBorder="1" applyAlignment="1">
      <alignment horizontal="center" wrapText="1"/>
    </xf>
    <xf numFmtId="0" fontId="1" fillId="5" borderId="17" xfId="0" applyFont="1" applyFill="1" applyBorder="1" applyAlignment="1">
      <alignment horizontal="center" wrapText="1"/>
    </xf>
    <xf numFmtId="0" fontId="1" fillId="5" borderId="18" xfId="0" applyFont="1" applyFill="1" applyBorder="1" applyAlignment="1">
      <alignment horizontal="center" wrapText="1"/>
    </xf>
    <xf numFmtId="0" fontId="9" fillId="7" borderId="10" xfId="0" applyFont="1" applyFill="1" applyBorder="1"/>
    <xf numFmtId="0" fontId="9" fillId="7" borderId="11" xfId="0" applyFont="1" applyFill="1" applyBorder="1"/>
    <xf numFmtId="0" fontId="9" fillId="7" borderId="12" xfId="0" applyFont="1" applyFill="1" applyBorder="1"/>
    <xf numFmtId="0" fontId="8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81BD"/>
      <rgbColor rgb="FF9999FF"/>
      <rgbColor rgb="FFC0504D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4BACC6"/>
      <rgbColor rgb="FF9BBB59"/>
      <rgbColor rgb="FFFFC000"/>
      <rgbColor rgb="FFF79646"/>
      <rgbColor rgb="FFFF6600"/>
      <rgbColor rgb="FF8064A2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Divisão do aporte por tipo de FII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APP!$C$36</c:f>
              <c:strCache>
                <c:ptCount val="1"/>
                <c:pt idx="0">
                  <c:v>Percentual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7A4E-40D6-B6CF-3BD2A189E93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A4E-40D6-B6CF-3BD2A189E939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A4E-40D6-B6CF-3BD2A189E939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7A4E-40D6-B6CF-3BD2A189E939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7A4E-40D6-B6CF-3BD2A189E939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7A4E-40D6-B6CF-3BD2A189E939}"/>
              </c:ext>
            </c:extLst>
          </c:dPt>
          <c:dLbls>
            <c:dLbl>
              <c:idx val="0"/>
              <c:layout>
                <c:manualLayout>
                  <c:x val="-0.54197718794948846"/>
                  <c:y val="0.33577641457608481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A4E-40D6-B6CF-3BD2A189E939}"/>
                </c:ext>
              </c:extLst>
            </c:dLbl>
            <c:dLbl>
              <c:idx val="1"/>
              <c:layout>
                <c:manualLayout>
                  <c:x val="-0.37458274440551631"/>
                  <c:y val="-0.16846059940181896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A4E-40D6-B6CF-3BD2A189E939}"/>
                </c:ext>
              </c:extLst>
            </c:dLbl>
            <c:dLbl>
              <c:idx val="2"/>
              <c:layout>
                <c:manualLayout>
                  <c:x val="-7.9050847183557274E-2"/>
                  <c:y val="-0.26887810535310991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A4E-40D6-B6CF-3BD2A189E939}"/>
                </c:ext>
              </c:extLst>
            </c:dLbl>
            <c:dLbl>
              <c:idx val="3"/>
              <c:layout>
                <c:manualLayout>
                  <c:x val="-9.483752238551138E-2"/>
                  <c:y val="1.8173106268693156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A4E-40D6-B6CF-3BD2A189E939}"/>
                </c:ext>
              </c:extLst>
            </c:dLbl>
            <c:dLbl>
              <c:idx val="4"/>
              <c:layout>
                <c:manualLayout>
                  <c:x val="-5.5060945764327796E-4"/>
                  <c:y val="-0.13086156381615091"/>
                </c:manualLayout>
              </c:layout>
              <c:spPr/>
              <c:txPr>
                <a:bodyPr wrap="square" anchorCtr="0"/>
                <a:lstStyle/>
                <a:p>
                  <a:pPr algn="ctr" rtl="0"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2792733490280002"/>
                      <c:h val="8.042635658914729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7A4E-40D6-B6CF-3BD2A189E939}"/>
                </c:ext>
              </c:extLst>
            </c:dLbl>
            <c:dLbl>
              <c:idx val="5"/>
              <c:layout>
                <c:manualLayout>
                  <c:x val="-0.14747875709791031"/>
                  <c:y val="0.15053927852041754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A4E-40D6-B6CF-3BD2A189E9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APP!$B$37:$B$42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APP!$C$37:$C$42</c:f>
              <c:numCache>
                <c:formatCode>0%</c:formatCode>
                <c:ptCount val="6"/>
                <c:pt idx="0">
                  <c:v>0.3</c:v>
                </c:pt>
                <c:pt idx="1">
                  <c:v>0.35</c:v>
                </c:pt>
                <c:pt idx="2">
                  <c:v>0.1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A4E-40D6-B6CF-3BD2A189E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57151</xdr:colOff>
      <xdr:row>46</xdr:row>
      <xdr:rowOff>28575</xdr:rowOff>
    </xdr:from>
    <xdr:to>
      <xdr:col>4</xdr:col>
      <xdr:colOff>1143000</xdr:colOff>
      <xdr:row>63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5"/>
  <sheetViews>
    <sheetView showGridLines="0" topLeftCell="A47" zoomScaleNormal="100" workbookViewId="0">
      <selection activeCell="F67" sqref="F67"/>
    </sheetView>
  </sheetViews>
  <sheetFormatPr defaultColWidth="8.7109375" defaultRowHeight="15" x14ac:dyDescent="0.25"/>
  <cols>
    <col min="1" max="1" width="3" customWidth="1"/>
    <col min="2" max="2" width="41.5703125" customWidth="1"/>
    <col min="3" max="6" width="24" customWidth="1"/>
  </cols>
  <sheetData>
    <row r="1" spans="2:6" x14ac:dyDescent="0.25">
      <c r="B1" s="46" t="s">
        <v>0</v>
      </c>
      <c r="C1" s="46"/>
      <c r="D1" s="46"/>
      <c r="E1" s="46"/>
      <c r="F1" s="46"/>
    </row>
    <row r="2" spans="2:6" x14ac:dyDescent="0.25">
      <c r="B2" s="46"/>
      <c r="C2" s="46"/>
      <c r="D2" s="46"/>
      <c r="E2" s="46"/>
      <c r="F2" s="46"/>
    </row>
    <row r="3" spans="2:6" x14ac:dyDescent="0.25">
      <c r="B3" s="46"/>
      <c r="C3" s="46"/>
      <c r="D3" s="46"/>
      <c r="E3" s="46"/>
      <c r="F3" s="46"/>
    </row>
    <row r="4" spans="2:6" ht="15.75" thickBot="1" x14ac:dyDescent="0.3"/>
    <row r="5" spans="2:6" ht="15.75" thickBot="1" x14ac:dyDescent="0.3">
      <c r="B5" s="43" t="s">
        <v>1</v>
      </c>
      <c r="C5" s="44"/>
      <c r="D5" s="44"/>
      <c r="E5" s="44"/>
      <c r="F5" s="45"/>
    </row>
    <row r="6" spans="2:6" x14ac:dyDescent="0.25">
      <c r="B6" s="17" t="s">
        <v>2</v>
      </c>
      <c r="C6" s="18">
        <v>3000</v>
      </c>
    </row>
    <row r="7" spans="2:6" x14ac:dyDescent="0.25">
      <c r="B7" s="12" t="s">
        <v>3</v>
      </c>
      <c r="C7" s="13">
        <v>6.0000000000000001E-3</v>
      </c>
    </row>
    <row r="8" spans="2:6" x14ac:dyDescent="0.25">
      <c r="B8" s="12" t="s">
        <v>4</v>
      </c>
      <c r="C8" s="14">
        <v>0.3</v>
      </c>
    </row>
    <row r="9" spans="2:6" ht="15.75" thickBot="1" x14ac:dyDescent="0.3">
      <c r="B9" s="15" t="s">
        <v>5</v>
      </c>
      <c r="C9" s="16">
        <f>salario*perc_sugestao</f>
        <v>900</v>
      </c>
    </row>
    <row r="10" spans="2:6" ht="15.75" thickBot="1" x14ac:dyDescent="0.3"/>
    <row r="11" spans="2:6" ht="15.75" thickBot="1" x14ac:dyDescent="0.3">
      <c r="B11" s="43" t="s">
        <v>6</v>
      </c>
      <c r="C11" s="44"/>
      <c r="D11" s="44"/>
      <c r="E11" s="44"/>
      <c r="F11" s="45"/>
    </row>
    <row r="12" spans="2:6" x14ac:dyDescent="0.25">
      <c r="B12" s="17" t="s">
        <v>7</v>
      </c>
      <c r="C12" s="18">
        <v>200</v>
      </c>
    </row>
    <row r="13" spans="2:6" x14ac:dyDescent="0.25">
      <c r="B13" s="12" t="s">
        <v>8</v>
      </c>
      <c r="C13" s="19">
        <v>5</v>
      </c>
    </row>
    <row r="14" spans="2:6" x14ac:dyDescent="0.25">
      <c r="B14" s="12" t="s">
        <v>9</v>
      </c>
      <c r="C14" s="20">
        <v>1.0789999999999999E-2</v>
      </c>
    </row>
    <row r="15" spans="2:6" x14ac:dyDescent="0.25">
      <c r="B15" s="12" t="s">
        <v>10</v>
      </c>
      <c r="C15" s="21">
        <f>FV(taxa_mensal,qtd_anos*12,-aporte)</f>
        <v>16755.382799697527</v>
      </c>
    </row>
    <row r="16" spans="2:6" x14ac:dyDescent="0.25">
      <c r="B16" s="12" t="s">
        <v>11</v>
      </c>
      <c r="C16" s="21">
        <f>patrimonio*rendimento_carteira</f>
        <v>100.53229679818516</v>
      </c>
    </row>
    <row r="17" spans="2:6" ht="15.75" thickBot="1" x14ac:dyDescent="0.3">
      <c r="B17" s="15" t="s">
        <v>12</v>
      </c>
      <c r="C17" s="16">
        <f>aporte*qtd_anos*12</f>
        <v>12000</v>
      </c>
    </row>
    <row r="18" spans="2:6" ht="15.75" thickBot="1" x14ac:dyDescent="0.3"/>
    <row r="19" spans="2:6" ht="15.75" thickBot="1" x14ac:dyDescent="0.3">
      <c r="B19" s="43" t="s">
        <v>13</v>
      </c>
      <c r="C19" s="44"/>
      <c r="D19" s="44"/>
      <c r="E19" s="44"/>
      <c r="F19" s="45"/>
    </row>
    <row r="20" spans="2:6" ht="31.5" customHeight="1" thickBot="1" x14ac:dyDescent="0.3">
      <c r="B20" s="40" t="s">
        <v>14</v>
      </c>
      <c r="C20" s="41" t="s">
        <v>15</v>
      </c>
      <c r="D20" s="41" t="s">
        <v>16</v>
      </c>
      <c r="E20" s="41" t="s">
        <v>17</v>
      </c>
      <c r="F20" s="42" t="s">
        <v>16</v>
      </c>
    </row>
    <row r="21" spans="2:6" x14ac:dyDescent="0.25">
      <c r="B21" s="37">
        <v>2</v>
      </c>
      <c r="C21" s="38">
        <f>FV(taxa_mensal,$B21*12,-aporte)</f>
        <v>5445.5254595290435</v>
      </c>
      <c r="D21" s="38">
        <f>C21*rendimento_carteira</f>
        <v>32.673152757174265</v>
      </c>
      <c r="E21" s="38">
        <f>FV(taxa_mensal,$B21*12,-sugestao_investimento)</f>
        <v>24504.864567880697</v>
      </c>
      <c r="F21" s="39">
        <f>E21*rendimento_carteira</f>
        <v>147.02918740728418</v>
      </c>
    </row>
    <row r="22" spans="2:6" x14ac:dyDescent="0.25">
      <c r="B22" s="22">
        <v>5</v>
      </c>
      <c r="C22" s="1">
        <f>FV(taxa_mensal,$B22*12,-aporte)</f>
        <v>16755.382799697527</v>
      </c>
      <c r="D22" s="1">
        <f>C22*rendimento_carteira</f>
        <v>100.53229679818516</v>
      </c>
      <c r="E22" s="1">
        <f>FV(taxa_mensal,$B22*12,-sugestao_investimento)</f>
        <v>75399.22259863888</v>
      </c>
      <c r="F22" s="23">
        <f>E22*rendimento_carteira</f>
        <v>452.39533559183332</v>
      </c>
    </row>
    <row r="23" spans="2:6" x14ac:dyDescent="0.25">
      <c r="B23" s="22">
        <v>10</v>
      </c>
      <c r="C23" s="1">
        <f>FV(taxa_mensal,$B23*12,-aporte)</f>
        <v>48656.842506034438</v>
      </c>
      <c r="D23" s="1">
        <f>C23*rendimento_carteira</f>
        <v>291.94105503620665</v>
      </c>
      <c r="E23" s="1">
        <f>FV(taxa_mensal,$B23*12,-sugestao_investimento)</f>
        <v>218955.79127715499</v>
      </c>
      <c r="F23" s="23">
        <f>E23*rendimento_carteira</f>
        <v>1313.73474766293</v>
      </c>
    </row>
    <row r="24" spans="2:6" x14ac:dyDescent="0.25">
      <c r="B24" s="22">
        <v>20</v>
      </c>
      <c r="C24" s="1">
        <f>FV(taxa_mensal,$B24*12,-aporte)</f>
        <v>225039.68001941612</v>
      </c>
      <c r="D24" s="1">
        <f>C24*rendimento_carteira</f>
        <v>1350.2380801164968</v>
      </c>
      <c r="E24" s="1">
        <f>FV(taxa_mensal,$B24*12,-sugestao_investimento)</f>
        <v>1012678.5600873725</v>
      </c>
      <c r="F24" s="23">
        <f>E24*rendimento_carteira</f>
        <v>6076.0713605242354</v>
      </c>
    </row>
    <row r="25" spans="2:6" ht="15.75" thickBot="1" x14ac:dyDescent="0.3">
      <c r="B25" s="24">
        <v>30</v>
      </c>
      <c r="C25" s="25">
        <f>FV(taxa_mensal,$B25*12,-aporte)</f>
        <v>864433.93100094295</v>
      </c>
      <c r="D25" s="25">
        <f>C25*rendimento_carteira</f>
        <v>5186.6035860056581</v>
      </c>
      <c r="E25" s="25">
        <f>FV(taxa_mensal,$B25*12,-sugestao_investimento)</f>
        <v>3889952.689504243</v>
      </c>
      <c r="F25" s="26">
        <f>E25*rendimento_carteira</f>
        <v>23339.716137025458</v>
      </c>
    </row>
    <row r="26" spans="2:6" ht="15.75" thickBot="1" x14ac:dyDescent="0.3"/>
    <row r="27" spans="2:6" ht="15.75" thickBot="1" x14ac:dyDescent="0.3">
      <c r="B27" s="43" t="s">
        <v>18</v>
      </c>
      <c r="C27" s="44"/>
      <c r="D27" s="44"/>
      <c r="E27" s="44"/>
      <c r="F27" s="45"/>
    </row>
    <row r="28" spans="2:6" x14ac:dyDescent="0.25">
      <c r="B28" s="11" t="s">
        <v>19</v>
      </c>
      <c r="C28" s="27">
        <f>sugestao_investimento</f>
        <v>900</v>
      </c>
    </row>
    <row r="29" spans="2:6" x14ac:dyDescent="0.25">
      <c r="B29" s="12" t="s">
        <v>20</v>
      </c>
      <c r="C29" s="21">
        <f>FV(taxa_mensal,qtd_anos*12,-sugestao_investimento)</f>
        <v>75399.22259863888</v>
      </c>
    </row>
    <row r="30" spans="2:6" ht="15.75" thickBot="1" x14ac:dyDescent="0.3">
      <c r="B30" s="15" t="s">
        <v>21</v>
      </c>
      <c r="C30" s="16">
        <f>C29*rendimento_carteira</f>
        <v>452.39533559183332</v>
      </c>
    </row>
    <row r="31" spans="2:6" ht="15.75" thickBot="1" x14ac:dyDescent="0.3"/>
    <row r="32" spans="2:6" ht="15.75" thickBot="1" x14ac:dyDescent="0.3">
      <c r="B32" s="43" t="s">
        <v>22</v>
      </c>
      <c r="C32" s="44"/>
      <c r="D32" s="44"/>
      <c r="E32" s="44"/>
      <c r="F32" s="45"/>
    </row>
    <row r="33" spans="2:4" x14ac:dyDescent="0.25">
      <c r="B33" s="17" t="s">
        <v>23</v>
      </c>
      <c r="C33" s="36" t="s">
        <v>24</v>
      </c>
    </row>
    <row r="34" spans="2:4" ht="15.75" thickBot="1" x14ac:dyDescent="0.3">
      <c r="B34" s="15" t="s">
        <v>25</v>
      </c>
      <c r="C34" s="16">
        <f>aporte</f>
        <v>200</v>
      </c>
    </row>
    <row r="35" spans="2:4" ht="15.75" thickBot="1" x14ac:dyDescent="0.3"/>
    <row r="36" spans="2:4" ht="15.75" thickBot="1" x14ac:dyDescent="0.3">
      <c r="B36" s="33" t="s">
        <v>26</v>
      </c>
      <c r="C36" s="34" t="s">
        <v>27</v>
      </c>
      <c r="D36" s="35" t="s">
        <v>28</v>
      </c>
    </row>
    <row r="37" spans="2:4" x14ac:dyDescent="0.25">
      <c r="B37" s="11" t="s">
        <v>29</v>
      </c>
      <c r="C37" s="28">
        <f t="shared" ref="C37:C42" si="0">VLOOKUP(perfil&amp;"-"&amp;B37,tabela_perfis,4,FALSE())</f>
        <v>0.3</v>
      </c>
      <c r="D37" s="29">
        <f t="shared" ref="D37:D42" si="1">C37*aporte</f>
        <v>60</v>
      </c>
    </row>
    <row r="38" spans="2:4" x14ac:dyDescent="0.25">
      <c r="B38" s="12" t="s">
        <v>30</v>
      </c>
      <c r="C38" s="2">
        <f t="shared" si="0"/>
        <v>0.35</v>
      </c>
      <c r="D38" s="23">
        <f t="shared" si="1"/>
        <v>70</v>
      </c>
    </row>
    <row r="39" spans="2:4" x14ac:dyDescent="0.25">
      <c r="B39" s="12" t="s">
        <v>31</v>
      </c>
      <c r="C39" s="2">
        <f t="shared" si="0"/>
        <v>0.1</v>
      </c>
      <c r="D39" s="23">
        <f t="shared" si="1"/>
        <v>20</v>
      </c>
    </row>
    <row r="40" spans="2:4" x14ac:dyDescent="0.25">
      <c r="B40" s="12" t="s">
        <v>32</v>
      </c>
      <c r="C40" s="2">
        <f t="shared" si="0"/>
        <v>0.05</v>
      </c>
      <c r="D40" s="23">
        <f t="shared" si="1"/>
        <v>10</v>
      </c>
    </row>
    <row r="41" spans="2:4" x14ac:dyDescent="0.25">
      <c r="B41" s="12" t="s">
        <v>33</v>
      </c>
      <c r="C41" s="2">
        <f t="shared" si="0"/>
        <v>0.1</v>
      </c>
      <c r="D41" s="23">
        <f t="shared" si="1"/>
        <v>20</v>
      </c>
    </row>
    <row r="42" spans="2:4" x14ac:dyDescent="0.25">
      <c r="B42" s="12" t="s">
        <v>34</v>
      </c>
      <c r="C42" s="2">
        <f t="shared" si="0"/>
        <v>0.1</v>
      </c>
      <c r="D42" s="23">
        <f t="shared" si="1"/>
        <v>20</v>
      </c>
    </row>
    <row r="43" spans="2:4" ht="15.75" thickBot="1" x14ac:dyDescent="0.3">
      <c r="B43" s="30" t="s">
        <v>35</v>
      </c>
      <c r="C43" s="31">
        <f>SUM(C37:C42)</f>
        <v>0.99999999999999989</v>
      </c>
      <c r="D43" s="32">
        <f>SUM(D37:D42)</f>
        <v>200</v>
      </c>
    </row>
    <row r="45" spans="2:4" x14ac:dyDescent="0.25">
      <c r="B45" s="4" t="s">
        <v>36</v>
      </c>
    </row>
  </sheetData>
  <mergeCells count="6">
    <mergeCell ref="B32:F32"/>
    <mergeCell ref="B1:F3"/>
    <mergeCell ref="B5:F5"/>
    <mergeCell ref="B11:F11"/>
    <mergeCell ref="B19:F19"/>
    <mergeCell ref="B27:F27"/>
  </mergeCell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Perfil inválido" error="Escolha um perfil da lista." xr:uid="{00000000-0002-0000-0000-000000000000}">
          <x14:formula1>
            <xm:f>Apoio!$F$4:$F$6</xm:f>
          </x14:formula1>
          <x14:formula2>
            <xm:f>0</xm:f>
          </x14:formula2>
          <xm:sqref>C33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showGridLines="0" tabSelected="1" zoomScaleNormal="100" workbookViewId="0"/>
  </sheetViews>
  <sheetFormatPr defaultColWidth="8.7109375" defaultRowHeight="15" x14ac:dyDescent="0.25"/>
  <cols>
    <col min="1" max="1" width="39.7109375" customWidth="1"/>
    <col min="2" max="2" width="16" customWidth="1"/>
    <col min="3" max="3" width="20" customWidth="1"/>
    <col min="4" max="4" width="8" customWidth="1"/>
    <col min="5" max="5" width="4" customWidth="1"/>
    <col min="6" max="6" width="16" customWidth="1"/>
    <col min="7" max="7" width="20" customWidth="1"/>
    <col min="8" max="8" width="12" customWidth="1"/>
  </cols>
  <sheetData>
    <row r="1" spans="1:8" ht="16.5" x14ac:dyDescent="0.25">
      <c r="A1" s="5" t="s">
        <v>37</v>
      </c>
    </row>
    <row r="3" spans="1:8" x14ac:dyDescent="0.25">
      <c r="A3" s="6" t="s">
        <v>38</v>
      </c>
      <c r="B3" s="6" t="s">
        <v>39</v>
      </c>
      <c r="C3" s="6" t="s">
        <v>40</v>
      </c>
      <c r="D3" s="6" t="s">
        <v>41</v>
      </c>
      <c r="F3" s="6" t="s">
        <v>42</v>
      </c>
      <c r="G3" s="6" t="s">
        <v>43</v>
      </c>
      <c r="H3" s="6" t="s">
        <v>44</v>
      </c>
    </row>
    <row r="4" spans="1:8" x14ac:dyDescent="0.25">
      <c r="A4" s="7" t="str">
        <f t="shared" ref="A4:A21" si="0">B4&amp;"-"&amp;C4</f>
        <v>Conservador-PAPEL</v>
      </c>
      <c r="B4" s="7" t="s">
        <v>45</v>
      </c>
      <c r="C4" s="7" t="s">
        <v>29</v>
      </c>
      <c r="D4" s="8">
        <v>0.35</v>
      </c>
      <c r="F4" s="9" t="s">
        <v>45</v>
      </c>
      <c r="G4" s="10">
        <f>SUMIF($B$4:$B$21,F4,$D$4:$D$21)</f>
        <v>1</v>
      </c>
      <c r="H4" s="3" t="str">
        <f>IF(ROUND(G4,4)=1,"OK","ERRO: ≠100%")</f>
        <v>OK</v>
      </c>
    </row>
    <row r="5" spans="1:8" x14ac:dyDescent="0.25">
      <c r="A5" s="7" t="str">
        <f t="shared" si="0"/>
        <v>Conservador-TIJOLO</v>
      </c>
      <c r="B5" s="7" t="s">
        <v>45</v>
      </c>
      <c r="C5" s="7" t="s">
        <v>30</v>
      </c>
      <c r="D5" s="8">
        <v>0.45</v>
      </c>
      <c r="F5" s="9" t="s">
        <v>24</v>
      </c>
      <c r="G5" s="10">
        <f>SUMIF($B$4:$B$21,F5,$D$4:$D$21)</f>
        <v>0.99999999999999989</v>
      </c>
      <c r="H5" s="3" t="str">
        <f>IF(ROUND(G5,4)=1,"OK","ERRO: ≠100%")</f>
        <v>OK</v>
      </c>
    </row>
    <row r="6" spans="1:8" x14ac:dyDescent="0.25">
      <c r="A6" s="7" t="str">
        <f t="shared" si="0"/>
        <v>Conservador-HÍBRIDOS</v>
      </c>
      <c r="B6" s="7" t="s">
        <v>45</v>
      </c>
      <c r="C6" s="7" t="s">
        <v>31</v>
      </c>
      <c r="D6" s="8">
        <v>0.1</v>
      </c>
      <c r="F6" s="9" t="s">
        <v>46</v>
      </c>
      <c r="G6" s="10">
        <f>SUMIF($B$4:$B$21,F6,$D$4:$D$21)</f>
        <v>1</v>
      </c>
      <c r="H6" s="3" t="str">
        <f>IF(ROUND(G6,4)=1,"OK","ERRO: ≠100%")</f>
        <v>OK</v>
      </c>
    </row>
    <row r="7" spans="1:8" x14ac:dyDescent="0.25">
      <c r="A7" s="7" t="str">
        <f t="shared" si="0"/>
        <v>Conservador-FOFs</v>
      </c>
      <c r="B7" s="7" t="s">
        <v>45</v>
      </c>
      <c r="C7" s="7" t="s">
        <v>32</v>
      </c>
      <c r="D7" s="8">
        <v>0.1</v>
      </c>
    </row>
    <row r="8" spans="1:8" x14ac:dyDescent="0.25">
      <c r="A8" s="7" t="str">
        <f t="shared" si="0"/>
        <v>Conservador-DESENVOLVIMENTO</v>
      </c>
      <c r="B8" s="7" t="s">
        <v>45</v>
      </c>
      <c r="C8" s="7" t="s">
        <v>33</v>
      </c>
      <c r="D8" s="8">
        <v>0</v>
      </c>
    </row>
    <row r="9" spans="1:8" x14ac:dyDescent="0.25">
      <c r="A9" s="7" t="str">
        <f t="shared" si="0"/>
        <v>Conservador-HOTELARIAS</v>
      </c>
      <c r="B9" s="7" t="s">
        <v>45</v>
      </c>
      <c r="C9" s="7" t="s">
        <v>34</v>
      </c>
      <c r="D9" s="8">
        <v>0</v>
      </c>
    </row>
    <row r="10" spans="1:8" x14ac:dyDescent="0.25">
      <c r="A10" s="7" t="str">
        <f t="shared" si="0"/>
        <v>Moderado-PAPEL</v>
      </c>
      <c r="B10" s="7" t="s">
        <v>24</v>
      </c>
      <c r="C10" s="7" t="s">
        <v>29</v>
      </c>
      <c r="D10" s="8">
        <v>0.3</v>
      </c>
    </row>
    <row r="11" spans="1:8" x14ac:dyDescent="0.25">
      <c r="A11" s="7" t="str">
        <f t="shared" si="0"/>
        <v>Moderado-TIJOLO</v>
      </c>
      <c r="B11" s="7" t="s">
        <v>24</v>
      </c>
      <c r="C11" s="7" t="s">
        <v>30</v>
      </c>
      <c r="D11" s="8">
        <v>0.35</v>
      </c>
    </row>
    <row r="12" spans="1:8" x14ac:dyDescent="0.25">
      <c r="A12" s="7" t="str">
        <f t="shared" si="0"/>
        <v>Moderado-HÍBRIDOS</v>
      </c>
      <c r="B12" s="7" t="s">
        <v>24</v>
      </c>
      <c r="C12" s="7" t="s">
        <v>31</v>
      </c>
      <c r="D12" s="8">
        <v>0.1</v>
      </c>
    </row>
    <row r="13" spans="1:8" x14ac:dyDescent="0.25">
      <c r="A13" s="7" t="str">
        <f t="shared" si="0"/>
        <v>Moderado-FOFs</v>
      </c>
      <c r="B13" s="7" t="s">
        <v>24</v>
      </c>
      <c r="C13" s="7" t="s">
        <v>32</v>
      </c>
      <c r="D13" s="8">
        <v>0.05</v>
      </c>
    </row>
    <row r="14" spans="1:8" x14ac:dyDescent="0.25">
      <c r="A14" s="7" t="str">
        <f t="shared" si="0"/>
        <v>Moderado-DESENVOLVIMENTO</v>
      </c>
      <c r="B14" s="7" t="s">
        <v>24</v>
      </c>
      <c r="C14" s="7" t="s">
        <v>33</v>
      </c>
      <c r="D14" s="8">
        <v>0.1</v>
      </c>
    </row>
    <row r="15" spans="1:8" x14ac:dyDescent="0.25">
      <c r="A15" s="7" t="str">
        <f t="shared" si="0"/>
        <v>Moderado-HOTELARIAS</v>
      </c>
      <c r="B15" s="7" t="s">
        <v>24</v>
      </c>
      <c r="C15" s="7" t="s">
        <v>34</v>
      </c>
      <c r="D15" s="8">
        <v>0.1</v>
      </c>
    </row>
    <row r="16" spans="1:8" x14ac:dyDescent="0.25">
      <c r="A16" s="7" t="str">
        <f t="shared" si="0"/>
        <v>Agressivo-PAPEL</v>
      </c>
      <c r="B16" s="7" t="s">
        <v>46</v>
      </c>
      <c r="C16" s="7" t="s">
        <v>29</v>
      </c>
      <c r="D16" s="8">
        <v>0.4</v>
      </c>
    </row>
    <row r="17" spans="1:4" x14ac:dyDescent="0.25">
      <c r="A17" s="7" t="str">
        <f t="shared" si="0"/>
        <v>Agressivo-TIJOLO</v>
      </c>
      <c r="B17" s="7" t="s">
        <v>46</v>
      </c>
      <c r="C17" s="7" t="s">
        <v>30</v>
      </c>
      <c r="D17" s="8">
        <v>0.1</v>
      </c>
    </row>
    <row r="18" spans="1:4" x14ac:dyDescent="0.25">
      <c r="A18" s="7" t="str">
        <f t="shared" si="0"/>
        <v>Agressivo-HÍBRIDOS</v>
      </c>
      <c r="B18" s="7" t="s">
        <v>46</v>
      </c>
      <c r="C18" s="7" t="s">
        <v>31</v>
      </c>
      <c r="D18" s="8">
        <v>0.1</v>
      </c>
    </row>
    <row r="19" spans="1:4" x14ac:dyDescent="0.25">
      <c r="A19" s="7" t="str">
        <f t="shared" si="0"/>
        <v>Agressivo-FOFs</v>
      </c>
      <c r="B19" s="7" t="s">
        <v>46</v>
      </c>
      <c r="C19" s="7" t="s">
        <v>32</v>
      </c>
      <c r="D19" s="8">
        <v>0.05</v>
      </c>
    </row>
    <row r="20" spans="1:4" x14ac:dyDescent="0.25">
      <c r="A20" s="7" t="str">
        <f t="shared" si="0"/>
        <v>Agressivo-DESENVOLVIMENTO</v>
      </c>
      <c r="B20" s="7" t="s">
        <v>46</v>
      </c>
      <c r="C20" s="7" t="s">
        <v>33</v>
      </c>
      <c r="D20" s="8">
        <v>0.25</v>
      </c>
    </row>
    <row r="21" spans="1:4" x14ac:dyDescent="0.25">
      <c r="A21" s="7" t="str">
        <f t="shared" si="0"/>
        <v>Agressivo-HOTELARIAS</v>
      </c>
      <c r="B21" s="7" t="s">
        <v>46</v>
      </c>
      <c r="C21" s="7" t="s">
        <v>34</v>
      </c>
      <c r="D21" s="8">
        <v>0.1</v>
      </c>
    </row>
    <row r="23" spans="1:4" x14ac:dyDescent="0.25">
      <c r="A23" s="4" t="s">
        <v>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11</vt:i4>
      </vt:variant>
    </vt:vector>
  </HeadingPairs>
  <TitlesOfParts>
    <vt:vector size="13" baseType="lpstr">
      <vt:lpstr>APP</vt:lpstr>
      <vt:lpstr>Apoio</vt:lpstr>
      <vt:lpstr>aporte</vt:lpstr>
      <vt:lpstr>dividendo_mensal</vt:lpstr>
      <vt:lpstr>patrimonio</vt:lpstr>
      <vt:lpstr>perc_sugestao</vt:lpstr>
      <vt:lpstr>perfil</vt:lpstr>
      <vt:lpstr>qtd_anos</vt:lpstr>
      <vt:lpstr>rendimento_carteira</vt:lpstr>
      <vt:lpstr>salario</vt:lpstr>
      <vt:lpstr>sugestao_investimento</vt:lpstr>
      <vt:lpstr>tabela_perfis</vt:lpstr>
      <vt:lpstr>taxa_mensal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Home</cp:lastModifiedBy>
  <cp:revision>1</cp:revision>
  <dcterms:created xsi:type="dcterms:W3CDTF">2026-10-07T23:04:20Z</dcterms:created>
  <dcterms:modified xsi:type="dcterms:W3CDTF">2026-10-12T01:25:05Z</dcterms:modified>
  <dc:language>en-US</dc:language>
</cp:coreProperties>
</file>